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<sst xmlns="http://schemas.openxmlformats.org/spreadsheetml/2006/main" count="30" uniqueCount="29">
  <si>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</si>
  <si>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</si>
  <si>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</si>
  <si>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</si>
  <si>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</si>
  <si>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</si>
  <si>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</si>
  <si>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</si>
  <si>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</si>
  <si>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</si>
  <si>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</si>
  <si>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</si>
  <si>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</si>
  <si>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</si>
  <si>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</si>
  <si>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</si>
  <si>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</si>
  <si>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</si>
  <si>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</si>
  <si>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</si>
  <si>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</si>
  <si>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</si>
  <si>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</si>
  <si>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</si>
  <si>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</si>
  <si>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</si>
  <si>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</si>
  <si>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info@config_游戏配置.xlsx</t>
  </si>
  <si>
    <t>info@item_道具表.xlsx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</si>
</sst>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15" sqref="E15"/>
    </sheetView>
  </sheetViews>
  <sheetFormatPr defaultColWidth="9" defaultRowHeight="14.25" outlineLevelRow="4"/>
  <cols>
    <col min="2" max="2" width="26.12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1:11">
      <c r="B4" t="str">
        <f>IF(C4="","",MID(E4,FIND("@",E4)+1,FIND("_",E4&amp;"_")-FIND("@",E4)-1)&amp;".Tb"&amp;C4)</f>
        <v>config.TbConfigInfo</v>
      </c>
      <c r="C4" t="str" cm="1">
        <f t="array" ref="C4">IFERROR(REPLACE(MID(E4,FIND("@",E4)+1,FIND("_",E4&amp;"_")-FIND("@",E4)-1),1,1,UPPER(MID(E4,FIND("@",E4)+1,1))),"")&amp;REPLACE(LEFT(E4,MIN(FIND({"@","_","."},E4&amp;"@_."))-1),1,1,UPPER(LEFT(E4,1)))</f>
        <v>ConfigInfo</v>
      </c>
      <c r="D4" t="b">
        <v>1</v>
      </c>
      <c r="E4" t="s">
        <v>27</v>
      </c>
    </row>
    <row r="5" spans="1:11">
      <c r="B5" t="str">
        <f>IF(C5="","",MID(E5,FIND("@",E5)+1,FIND("_",E5&amp;"_")-FIND("@",E5)-1)&amp;".Tb"&amp;C5)</f>
        <v>item.TbItemInfo</v>
      </c>
      <c r="C5" t="str" cm="1">
        <f t="array" ref="C5">IFERROR(REPLACE(MID(E5,FIND("@",E5)+1,FIND("_",E5&amp;"_")-FIND("@",E5)-1),1,1,UPPER(MID(E5,FIND("@",E5)+1,1))),"")&amp;REPLACE(LEFT(E5,MIN(FIND({"@","_","."},E5&amp;"@_."))-1),1,1,UPPER(LEFT(E5,1)))</f>
        <v>ItemInfo</v>
      </c>
      <c r="D5" t="b">
        <v>1</v>
      </c>
      <c r="E5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潘恒凯</cp:lastModifiedBy>
  <dcterms:created xsi:type="dcterms:W3CDTF">2021-08-02T03:12:00Z</dcterms:created>
  <dcterms:modified xsi:type="dcterms:W3CDTF">2026-03-12T03:03:08Z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